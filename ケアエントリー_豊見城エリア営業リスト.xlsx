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営業リスト" sheetId="1" state="visible" r:id="rId3"/>
    <sheet name="ステータスサマリー" sheetId="2" state="visible" r:id="rId4"/>
    <sheet name="使い方メモ" sheetId="3" state="visible" r:id="rId5"/>
  </sheets>
  <definedNames>
    <definedName function="false" hidden="true" localSheetId="0" name="_xlnm._FilterDatabase" vbProcedure="false">営業リスト!$A$1:$Y$11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<sst xmlns="http://schemas.openxmlformats.org/spreadsheetml/2006/main" count="168" uniqueCount="103">
  <si>
    <t xml:space="preserve">No.</t>
  </si>
  <si>
    <t xml:space="preserve">事業所名</t>
  </si>
  <si>
    <t xml:space="preserve">事業種別</t>
  </si>
  <si>
    <t xml:space="preserve">法人名</t>
  </si>
  <si>
    <t xml:space="preserve">郵便番号</t>
  </si>
  <si>
    <t xml:space="preserve">住所</t>
  </si>
  <si>
    <t xml:space="preserve">市区町村</t>
  </si>
  <si>
    <t xml:space="preserve">電話番号</t>
  </si>
  <si>
    <t xml:space="preserve">FAX</t>
  </si>
  <si>
    <t xml:space="preserve">メール</t>
  </si>
  <si>
    <t xml:space="preserve">ホームページ</t>
  </si>
  <si>
    <t xml:space="preserve">代表者名</t>
  </si>
  <si>
    <t xml:space="preserve">担当者名</t>
  </si>
  <si>
    <t xml:space="preserve">従業員数</t>
  </si>
  <si>
    <t xml:space="preserve">営業ステータス</t>
  </si>
  <si>
    <t xml:space="preserve">優先度</t>
  </si>
  <si>
    <t xml:space="preserve">アプローチ方法</t>
  </si>
  <si>
    <t xml:space="preserve">初回コンタクト日</t>
  </si>
  <si>
    <t xml:space="preserve">最終コンタクト日</t>
  </si>
  <si>
    <t xml:space="preserve">次回アクション</t>
  </si>
  <si>
    <t xml:space="preserve">次回アクション日</t>
  </si>
  <si>
    <t xml:space="preserve">求人掲載状況</t>
  </si>
  <si>
    <t xml:space="preserve">備考・メモ</t>
  </si>
  <si>
    <t xml:space="preserve">情報ソース</t>
  </si>
  <si>
    <t xml:space="preserve">登録日</t>
  </si>
  <si>
    <r>
      <rPr>
        <sz val="10"/>
        <rFont val="Noto Sans CJK SC"/>
        <family val="2"/>
      </rPr>
      <t xml:space="preserve">（要確認）認知症対応型</t>
    </r>
    <r>
      <rPr>
        <sz val="10"/>
        <rFont val="Arial"/>
        <family val="0"/>
        <charset val="1"/>
      </rPr>
      <t xml:space="preserve">GH-1</t>
    </r>
  </si>
  <si>
    <r>
      <rPr>
        <sz val="10"/>
        <rFont val="Noto Sans CJK SC"/>
        <family val="2"/>
      </rPr>
      <t xml:space="preserve">認知症対応型</t>
    </r>
    <r>
      <rPr>
        <sz val="10"/>
        <rFont val="Arial"/>
        <family val="0"/>
        <charset val="1"/>
      </rPr>
      <t xml:space="preserve">GH</t>
    </r>
  </si>
  <si>
    <t xml:space="preserve">豊見城市</t>
  </si>
  <si>
    <t xml:space="preserve">未着手</t>
  </si>
  <si>
    <t xml:space="preserve">A</t>
  </si>
  <si>
    <t xml:space="preserve">未掲載</t>
  </si>
  <si>
    <t xml:space="preserve">豊見城市内・要詳細確認</t>
  </si>
  <si>
    <t xml:space="preserve">沖縄県介護サービス情報公表システム</t>
  </si>
  <si>
    <t xml:space="preserve">2026-04-28</t>
  </si>
  <si>
    <r>
      <rPr>
        <sz val="10"/>
        <rFont val="Noto Sans CJK SC"/>
        <family val="2"/>
      </rPr>
      <t xml:space="preserve">（要確認）認知症対応型</t>
    </r>
    <r>
      <rPr>
        <sz val="10"/>
        <rFont val="Arial"/>
        <family val="0"/>
        <charset val="1"/>
      </rPr>
      <t xml:space="preserve">GH-2</t>
    </r>
  </si>
  <si>
    <r>
      <rPr>
        <sz val="10"/>
        <rFont val="Noto Sans CJK SC"/>
        <family val="2"/>
      </rPr>
      <t xml:space="preserve">（要確認）認知症対応型</t>
    </r>
    <r>
      <rPr>
        <sz val="10"/>
        <rFont val="Arial"/>
        <family val="0"/>
        <charset val="1"/>
      </rPr>
      <t xml:space="preserve">GH-3</t>
    </r>
  </si>
  <si>
    <r>
      <rPr>
        <sz val="10"/>
        <rFont val="Noto Sans CJK SC"/>
        <family val="2"/>
      </rPr>
      <t xml:space="preserve">（要確認）認知症対応型</t>
    </r>
    <r>
      <rPr>
        <sz val="10"/>
        <rFont val="Arial"/>
        <family val="0"/>
        <charset val="1"/>
      </rPr>
      <t xml:space="preserve">GH-4</t>
    </r>
  </si>
  <si>
    <r>
      <rPr>
        <sz val="10"/>
        <rFont val="Noto Sans CJK SC"/>
        <family val="2"/>
      </rPr>
      <t xml:space="preserve">（要確認）障害者</t>
    </r>
    <r>
      <rPr>
        <sz val="10"/>
        <rFont val="Arial"/>
        <family val="0"/>
        <charset val="1"/>
      </rPr>
      <t xml:space="preserve">GH-1</t>
    </r>
  </si>
  <si>
    <r>
      <rPr>
        <sz val="10"/>
        <rFont val="Noto Sans CJK SC"/>
        <family val="2"/>
      </rPr>
      <t xml:space="preserve">障害者</t>
    </r>
    <r>
      <rPr>
        <sz val="10"/>
        <rFont val="Arial"/>
        <family val="0"/>
        <charset val="1"/>
      </rPr>
      <t xml:space="preserve">GH</t>
    </r>
    <r>
      <rPr>
        <sz val="10"/>
        <rFont val="Noto Sans CJK SC"/>
        <family val="2"/>
      </rPr>
      <t xml:space="preserve">（共同生活援助）</t>
    </r>
  </si>
  <si>
    <r>
      <rPr>
        <sz val="10"/>
        <rFont val="Arial"/>
        <family val="0"/>
        <charset val="1"/>
      </rPr>
      <t xml:space="preserve">WAM NET</t>
    </r>
    <r>
      <rPr>
        <sz val="10"/>
        <rFont val="Noto Sans CJK SC"/>
        <family val="2"/>
      </rPr>
      <t xml:space="preserve">から抽出予定</t>
    </r>
  </si>
  <si>
    <t xml:space="preserve">WAM NET</t>
  </si>
  <si>
    <r>
      <rPr>
        <sz val="10"/>
        <rFont val="Noto Sans CJK SC"/>
        <family val="2"/>
      </rPr>
      <t xml:space="preserve">（要確認）障害者</t>
    </r>
    <r>
      <rPr>
        <sz val="10"/>
        <rFont val="Arial"/>
        <family val="0"/>
        <charset val="1"/>
      </rPr>
      <t xml:space="preserve">GH-2</t>
    </r>
  </si>
  <si>
    <r>
      <rPr>
        <sz val="10"/>
        <rFont val="Noto Sans CJK SC"/>
        <family val="2"/>
      </rPr>
      <t xml:space="preserve">（要確認）就労継続支援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型</t>
    </r>
    <r>
      <rPr>
        <sz val="10"/>
        <rFont val="Arial"/>
        <family val="0"/>
        <charset val="1"/>
      </rPr>
      <t xml:space="preserve">-1</t>
    </r>
  </si>
  <si>
    <r>
      <rPr>
        <sz val="10"/>
        <rFont val="Noto Sans CJK SC"/>
        <family val="2"/>
      </rPr>
      <t xml:space="preserve">就労継続支援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型</t>
    </r>
  </si>
  <si>
    <t xml:space="preserve">B</t>
  </si>
  <si>
    <r>
      <rPr>
        <sz val="10"/>
        <rFont val="Noto Sans CJK SC"/>
        <family val="2"/>
      </rPr>
      <t xml:space="preserve">（要確認）就労継続支援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型</t>
    </r>
    <r>
      <rPr>
        <sz val="10"/>
        <rFont val="Arial"/>
        <family val="0"/>
        <charset val="1"/>
      </rPr>
      <t xml:space="preserve">-1</t>
    </r>
  </si>
  <si>
    <r>
      <rPr>
        <sz val="10"/>
        <rFont val="Noto Sans CJK SC"/>
        <family val="2"/>
      </rPr>
      <t xml:space="preserve">就労継続支援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型</t>
    </r>
  </si>
  <si>
    <r>
      <rPr>
        <sz val="10"/>
        <rFont val="Noto Sans CJK SC"/>
        <family val="2"/>
      </rPr>
      <t xml:space="preserve">（要確認）認知症対応型</t>
    </r>
    <r>
      <rPr>
        <sz val="10"/>
        <rFont val="Arial"/>
        <family val="0"/>
        <charset val="1"/>
      </rPr>
      <t xml:space="preserve">GH-</t>
    </r>
    <r>
      <rPr>
        <sz val="10"/>
        <rFont val="Noto Sans CJK SC"/>
        <family val="2"/>
      </rPr>
      <t xml:space="preserve">那覇小禄</t>
    </r>
  </si>
  <si>
    <t xml:space="preserve">那覇市</t>
  </si>
  <si>
    <t xml:space="preserve">那覇市小禄エリア</t>
  </si>
  <si>
    <r>
      <rPr>
        <sz val="10"/>
        <rFont val="Noto Sans CJK SC"/>
        <family val="2"/>
      </rPr>
      <t xml:space="preserve">（要確認）障害者</t>
    </r>
    <r>
      <rPr>
        <sz val="10"/>
        <rFont val="Arial"/>
        <family val="0"/>
        <charset val="1"/>
      </rPr>
      <t xml:space="preserve">GH-</t>
    </r>
    <r>
      <rPr>
        <sz val="10"/>
        <rFont val="Noto Sans CJK SC"/>
        <family val="2"/>
      </rPr>
      <t xml:space="preserve">南風原町</t>
    </r>
  </si>
  <si>
    <t xml:space="preserve">南風原町</t>
  </si>
  <si>
    <t xml:space="preserve">C</t>
  </si>
  <si>
    <t xml:space="preserve">南風原町エリア</t>
  </si>
  <si>
    <t xml:space="preserve">営業ステータス別 件数</t>
  </si>
  <si>
    <t xml:space="preserve">ステータス</t>
  </si>
  <si>
    <t xml:space="preserve">件数</t>
  </si>
  <si>
    <t xml:space="preserve">割合</t>
  </si>
  <si>
    <t xml:space="preserve">リスト化済</t>
  </si>
  <si>
    <t xml:space="preserve">初回連絡済</t>
  </si>
  <si>
    <t xml:space="preserve">商談中</t>
  </si>
  <si>
    <t xml:space="preserve">提案中</t>
  </si>
  <si>
    <t xml:space="preserve">掲載検討中</t>
  </si>
  <si>
    <t xml:space="preserve">掲載決定</t>
  </si>
  <si>
    <t xml:space="preserve">掲載中</t>
  </si>
  <si>
    <t xml:space="preserve">失注</t>
  </si>
  <si>
    <t xml:space="preserve">保留</t>
  </si>
  <si>
    <t xml:space="preserve">合計</t>
  </si>
  <si>
    <t xml:space="preserve">事業種別 件数</t>
  </si>
  <si>
    <r>
      <rPr>
        <sz val="11"/>
        <rFont val="Noto Sans CJK SC"/>
        <family val="2"/>
      </rPr>
      <t xml:space="preserve">認知症対応型</t>
    </r>
    <r>
      <rPr>
        <sz val="11"/>
        <rFont val="Arial"/>
        <family val="0"/>
        <charset val="1"/>
      </rPr>
      <t xml:space="preserve">GH</t>
    </r>
  </si>
  <si>
    <r>
      <rPr>
        <sz val="11"/>
        <rFont val="Noto Sans CJK SC"/>
        <family val="2"/>
      </rPr>
      <t xml:space="preserve">障害者</t>
    </r>
    <r>
      <rPr>
        <sz val="11"/>
        <rFont val="Arial"/>
        <family val="0"/>
        <charset val="1"/>
      </rPr>
      <t xml:space="preserve">GH</t>
    </r>
    <r>
      <rPr>
        <sz val="11"/>
        <rFont val="Noto Sans CJK SC"/>
        <family val="2"/>
      </rPr>
      <t xml:space="preserve">（共同生活援助）</t>
    </r>
  </si>
  <si>
    <r>
      <rPr>
        <sz val="11"/>
        <rFont val="Noto Sans CJK SC"/>
        <family val="2"/>
      </rPr>
      <t xml:space="preserve">就労継続支援</t>
    </r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型</t>
    </r>
  </si>
  <si>
    <r>
      <rPr>
        <sz val="11"/>
        <rFont val="Noto Sans CJK SC"/>
        <family val="2"/>
      </rPr>
      <t xml:space="preserve">就労継続支援</t>
    </r>
    <r>
      <rPr>
        <sz val="11"/>
        <rFont val="Arial"/>
        <family val="0"/>
        <charset val="1"/>
      </rPr>
      <t xml:space="preserve">B</t>
    </r>
    <r>
      <rPr>
        <sz val="11"/>
        <rFont val="Noto Sans CJK SC"/>
        <family val="2"/>
      </rPr>
      <t xml:space="preserve">型</t>
    </r>
  </si>
  <si>
    <t xml:space="preserve">就労移行支援</t>
  </si>
  <si>
    <t xml:space="preserve">生活介護</t>
  </si>
  <si>
    <t xml:space="preserve">その他</t>
  </si>
  <si>
    <t xml:space="preserve">ケアエントリー営業リスト 使い方</t>
  </si>
  <si>
    <t xml:space="preserve">【目的】</t>
  </si>
  <si>
    <t xml:space="preserve">豊見城市＋周辺エリアの福祉事業者へのケアエントリー営業活動を一元管理する。</t>
  </si>
  <si>
    <t xml:space="preserve">【対象事業種別】</t>
  </si>
  <si>
    <t xml:space="preserve">・認知症対応型グループホーム（介護保険）</t>
  </si>
  <si>
    <t xml:space="preserve">・障害者グループホーム（共同生活援助）</t>
  </si>
  <si>
    <r>
      <rPr>
        <sz val="11"/>
        <color rgb="FF000000"/>
        <rFont val="Noto Sans CJK SC"/>
        <family val="2"/>
      </rPr>
      <t xml:space="preserve">・就労継続支援</t>
    </r>
    <r>
      <rPr>
        <sz val="11"/>
        <color rgb="FF000000"/>
        <rFont val="Arial"/>
        <family val="0"/>
        <charset val="1"/>
      </rPr>
      <t xml:space="preserve">A</t>
    </r>
    <r>
      <rPr>
        <sz val="11"/>
        <color rgb="FF000000"/>
        <rFont val="Noto Sans CJK SC"/>
        <family val="2"/>
      </rPr>
      <t xml:space="preserve">型</t>
    </r>
  </si>
  <si>
    <r>
      <rPr>
        <sz val="11"/>
        <color rgb="FF000000"/>
        <rFont val="Noto Sans CJK SC"/>
        <family val="2"/>
      </rPr>
      <t xml:space="preserve">・就労継続支援</t>
    </r>
    <r>
      <rPr>
        <sz val="11"/>
        <color rgb="FF000000"/>
        <rFont val="Arial"/>
        <family val="0"/>
        <charset val="1"/>
      </rPr>
      <t xml:space="preserve">B</t>
    </r>
    <r>
      <rPr>
        <sz val="11"/>
        <color rgb="FF000000"/>
        <rFont val="Noto Sans CJK SC"/>
        <family val="2"/>
      </rPr>
      <t xml:space="preserve">型</t>
    </r>
  </si>
  <si>
    <t xml:space="preserve">【データソースの取得方法】</t>
  </si>
  <si>
    <r>
      <rPr>
        <sz val="11"/>
        <color rgb="FF000000"/>
        <rFont val="Noto Sans CJK SC"/>
        <family val="2"/>
      </rPr>
      <t xml:space="preserve">認知症対応型</t>
    </r>
    <r>
      <rPr>
        <sz val="11"/>
        <color rgb="FF000000"/>
        <rFont val="Arial"/>
        <family val="0"/>
        <charset val="1"/>
      </rPr>
      <t xml:space="preserve">GH → </t>
    </r>
    <r>
      <rPr>
        <sz val="11"/>
        <color rgb="FF000000"/>
        <rFont val="Noto Sans CJK SC"/>
        <family val="2"/>
      </rPr>
      <t xml:space="preserve">沖縄県介護サービス情報公表システム</t>
    </r>
  </si>
  <si>
    <t xml:space="preserve">  https://www.kaigokensaku.mhlw.go.jp/47/</t>
  </si>
  <si>
    <r>
      <rPr>
        <sz val="11"/>
        <color rgb="FF000000"/>
        <rFont val="Noto Sans CJK SC"/>
        <family val="2"/>
      </rPr>
      <t xml:space="preserve">障害者</t>
    </r>
    <r>
      <rPr>
        <sz val="11"/>
        <color rgb="FF000000"/>
        <rFont val="Arial"/>
        <family val="0"/>
        <charset val="1"/>
      </rPr>
      <t xml:space="preserve">GH</t>
    </r>
    <r>
      <rPr>
        <sz val="11"/>
        <color rgb="FF000000"/>
        <rFont val="Noto Sans CJK SC"/>
        <family val="2"/>
      </rPr>
      <t xml:space="preserve">・就労継続支援 → </t>
    </r>
    <r>
      <rPr>
        <sz val="11"/>
        <color rgb="FF000000"/>
        <rFont val="Arial"/>
        <family val="0"/>
        <charset val="1"/>
      </rPr>
      <t xml:space="preserve">WAM NET</t>
    </r>
    <r>
      <rPr>
        <sz val="11"/>
        <color rgb="FF000000"/>
        <rFont val="Noto Sans CJK SC"/>
        <family val="2"/>
      </rPr>
      <t xml:space="preserve">（独立行政法人福祉医療機構）</t>
    </r>
  </si>
  <si>
    <t xml:space="preserve">  https://www.wam.go.jp/content/wamnet/pcpub/</t>
  </si>
  <si>
    <t xml:space="preserve">市役所一覧 → 豊見城市福祉部（居宅介護支援事業所等一覧）</t>
  </si>
  <si>
    <t xml:space="preserve">  https://www.city.tomigusuku.lg.jp/</t>
  </si>
  <si>
    <t xml:space="preserve">【優先度の付け方】</t>
  </si>
  <si>
    <r>
      <rPr>
        <sz val="11"/>
        <color rgb="FF000000"/>
        <rFont val="Arial"/>
        <family val="0"/>
        <charset val="1"/>
      </rPr>
      <t xml:space="preserve">S: </t>
    </r>
    <r>
      <rPr>
        <sz val="11"/>
        <color rgb="FF000000"/>
        <rFont val="Noto Sans CJK SC"/>
        <family val="2"/>
      </rPr>
      <t xml:space="preserve">即提案できる超優先（紹介あり、自宅から近い、求人ニーズ確認済み）</t>
    </r>
  </si>
  <si>
    <r>
      <rPr>
        <sz val="11"/>
        <color rgb="FF000000"/>
        <rFont val="Arial"/>
        <family val="0"/>
        <charset val="1"/>
      </rPr>
      <t xml:space="preserve">A: </t>
    </r>
    <r>
      <rPr>
        <sz val="11"/>
        <color rgb="FF000000"/>
        <rFont val="Noto Sans CJK SC"/>
        <family val="2"/>
      </rPr>
      <t xml:space="preserve">豊見城市内＋ターゲット業態</t>
    </r>
  </si>
  <si>
    <r>
      <rPr>
        <sz val="11"/>
        <color rgb="FF000000"/>
        <rFont val="Arial"/>
        <family val="0"/>
        <charset val="1"/>
      </rPr>
      <t xml:space="preserve">B: </t>
    </r>
    <r>
      <rPr>
        <sz val="11"/>
        <color rgb="FF000000"/>
        <rFont val="Noto Sans CJK SC"/>
        <family val="2"/>
      </rPr>
      <t xml:space="preserve">那覇市小禄・南風原町など隣接エリア</t>
    </r>
  </si>
  <si>
    <r>
      <rPr>
        <sz val="11"/>
        <color rgb="FF000000"/>
        <rFont val="Arial"/>
        <family val="0"/>
        <charset val="1"/>
      </rPr>
      <t xml:space="preserve">C: </t>
    </r>
    <r>
      <rPr>
        <sz val="11"/>
        <color rgb="FF000000"/>
        <rFont val="Noto Sans CJK SC"/>
        <family val="2"/>
      </rPr>
      <t xml:space="preserve">それ以外の近隣エリア</t>
    </r>
  </si>
  <si>
    <t xml:space="preserve">【課金モデル（参考）】</t>
  </si>
  <si>
    <r>
      <rPr>
        <sz val="11"/>
        <color rgb="FF000000"/>
        <rFont val="Noto Sans CJK SC"/>
        <family val="2"/>
      </rPr>
      <t xml:space="preserve">掲載開始から</t>
    </r>
    <r>
      <rPr>
        <sz val="11"/>
        <color rgb="FF000000"/>
        <rFont val="Arial"/>
        <family val="0"/>
        <charset val="1"/>
      </rPr>
      <t xml:space="preserve">3</t>
    </r>
    <r>
      <rPr>
        <sz val="11"/>
        <color rgb="FF000000"/>
        <rFont val="Noto Sans CJK SC"/>
        <family val="2"/>
      </rPr>
      <t xml:space="preserve">ヶ月 </t>
    </r>
    <r>
      <rPr>
        <sz val="11"/>
        <color rgb="FF000000"/>
        <rFont val="Arial"/>
        <family val="0"/>
        <charset val="1"/>
      </rPr>
      <t xml:space="preserve">OR </t>
    </r>
    <r>
      <rPr>
        <sz val="11"/>
        <color rgb="FF000000"/>
        <rFont val="Noto Sans CJK SC"/>
        <family val="2"/>
      </rPr>
      <t xml:space="preserve">有効応募</t>
    </r>
    <r>
      <rPr>
        <sz val="11"/>
        <color rgb="FF000000"/>
        <rFont val="Arial"/>
        <family val="0"/>
        <charset val="1"/>
      </rPr>
      <t xml:space="preserve">3</t>
    </r>
    <r>
      <rPr>
        <sz val="11"/>
        <color rgb="FF000000"/>
        <rFont val="Noto Sans CJK SC"/>
        <family val="2"/>
      </rPr>
      <t xml:space="preserve">件まで無料 → その後 有効応募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Noto Sans CJK SC"/>
        <family val="2"/>
      </rPr>
      <t xml:space="preserve">件</t>
    </r>
    <r>
      <rPr>
        <sz val="11"/>
        <color rgb="FF000000"/>
        <rFont val="Arial"/>
        <family val="0"/>
        <charset val="1"/>
      </rPr>
      <t xml:space="preserve">=¥3,000</t>
    </r>
    <r>
      <rPr>
        <sz val="11"/>
        <color rgb="FF000000"/>
        <rFont val="Noto Sans CJK SC"/>
        <family val="2"/>
      </rPr>
      <t xml:space="preserve">（税別）</t>
    </r>
  </si>
  <si>
    <r>
      <rPr>
        <b val="true"/>
        <sz val="12"/>
        <color rgb="FF1F4E78"/>
        <rFont val="Noto Sans CJK SC"/>
        <family val="2"/>
      </rPr>
      <t xml:space="preserve">【運用</t>
    </r>
    <r>
      <rPr>
        <b val="true"/>
        <sz val="12"/>
        <color rgb="FF1F4E78"/>
        <rFont val="Arial"/>
        <family val="0"/>
        <charset val="1"/>
      </rPr>
      <t xml:space="preserve">Tips</t>
    </r>
    <r>
      <rPr>
        <b val="true"/>
        <sz val="12"/>
        <color rgb="FF1F4E78"/>
        <rFont val="Noto Sans CJK SC"/>
        <family val="2"/>
      </rPr>
      <t xml:space="preserve">】</t>
    </r>
  </si>
  <si>
    <t xml:space="preserve">・「営業ステータス」「優先度」「事業種別」はプルダウンから選択</t>
  </si>
  <si>
    <t xml:space="preserve">・サマリーシートに件数・割合が自動集計される</t>
  </si>
  <si>
    <r>
      <rPr>
        <sz val="11"/>
        <color rgb="FF000000"/>
        <rFont val="Noto Sans CJK SC"/>
        <family val="2"/>
      </rPr>
      <t xml:space="preserve">・</t>
    </r>
    <r>
      <rPr>
        <sz val="11"/>
        <color rgb="FF000000"/>
        <rFont val="Arial"/>
        <family val="0"/>
        <charset val="1"/>
      </rPr>
      <t xml:space="preserve">No.</t>
    </r>
    <r>
      <rPr>
        <sz val="11"/>
        <color rgb="FF000000"/>
        <rFont val="Noto Sans CJK SC"/>
        <family val="2"/>
      </rPr>
      <t xml:space="preserve">列はマニュアル更新（行追加時に手で連番にする </t>
    </r>
    <r>
      <rPr>
        <sz val="11"/>
        <color rgb="FF000000"/>
        <rFont val="Arial"/>
        <family val="0"/>
        <charset val="1"/>
      </rPr>
      <t xml:space="preserve">or </t>
    </r>
    <r>
      <rPr>
        <sz val="11"/>
        <color rgb="FF000000"/>
        <rFont val="Noto Sans CJK SC"/>
        <family val="2"/>
      </rPr>
      <t xml:space="preserve">行削除に注意）</t>
    </r>
  </si>
  <si>
    <r>
      <rPr>
        <sz val="11"/>
        <color rgb="FF000000"/>
        <rFont val="Noto Sans CJK SC"/>
        <family val="2"/>
      </rPr>
      <t xml:space="preserve">・</t>
    </r>
    <r>
      <rPr>
        <sz val="11"/>
        <color rgb="FF000000"/>
        <rFont val="Arial"/>
        <family val="0"/>
        <charset val="1"/>
      </rPr>
      <t xml:space="preserve">C</t>
    </r>
    <r>
      <rPr>
        <sz val="11"/>
        <color rgb="FF000000"/>
        <rFont val="Noto Sans CJK SC"/>
        <family val="2"/>
      </rPr>
      <t xml:space="preserve">列より右にスクロールしてもヘッダーと事業所名が固定表示される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</si>
</sst>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4"/>
      <color rgb="FF1F4E78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6"/>
      <color rgb="FF1F4E78"/>
      <name val="Noto Sans CJK SC"/>
      <family val="2"/>
    </font>
    <font>
      <sz val="11"/>
      <color rgb="FF000000"/>
      <name val="Arial"/>
      <family val="0"/>
      <charset val="1"/>
    </font>
    <font>
      <b val="true"/>
      <sz val="12"/>
      <color rgb="FF1F4E78"/>
      <name val="Noto Sans CJK SC"/>
      <family val="2"/>
    </font>
    <font>
      <sz val="11"/>
      <color rgb="FF000000"/>
      <name val="Noto Sans CJK SC"/>
      <family val="2"/>
    </font>
    <font>
      <b val="true"/>
      <sz val="12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5F9FC"/>
        <bgColor rgb="FFFFFFFF"/>
      </patternFill>
    </fill>
    <fill>
      <patternFill patternType="solid">
        <fgColor rgb="FFE7F0F7"/>
        <bgColor rgb="FFF5F9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5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5F9FC"/>
      <rgbColor rgb="FFE7F0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36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24"/>
    <col collapsed="false" customWidth="true" hidden="false" outlineLevel="0" max="11" min="11" style="0" width="28"/>
    <col collapsed="false" customWidth="true" hidden="false" outlineLevel="0" max="13" min="12" style="0" width="14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6" min="16" style="0" width="8"/>
    <col collapsed="false" customWidth="true" hidden="false" outlineLevel="0" max="19" min="17" style="0" width="14"/>
    <col collapsed="false" customWidth="true" hidden="false" outlineLevel="0" max="20" min="20" style="0" width="22"/>
    <col collapsed="false" customWidth="true" hidden="false" outlineLevel="0" max="22" min="21" style="0" width="14"/>
    <col collapsed="false" customWidth="true" hidden="false" outlineLevel="0" max="23" min="23" style="0" width="32"/>
    <col collapsed="false" customWidth="true" hidden="false" outlineLevel="0" max="24" min="24" style="0" width="18"/>
    <col collapsed="false" customWidth="true" hidden="false" outlineLevel="0" max="25" min="25" style="0" width="12"/>
  </cols>
  <sheetData>
    <row r="1" customFormat="false" ht="31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customFormat="false" ht="29.85" hidden="false" customHeight="false" outlineLevel="0" collapsed="false">
      <c r="A2" s="3" t="n">
        <v>1</v>
      </c>
      <c r="B2" s="4" t="s">
        <v>25</v>
      </c>
      <c r="C2" s="4" t="s">
        <v>26</v>
      </c>
      <c r="D2" s="3"/>
      <c r="E2" s="3"/>
      <c r="F2" s="3"/>
      <c r="G2" s="4" t="s">
        <v>27</v>
      </c>
      <c r="H2" s="3"/>
      <c r="I2" s="3"/>
      <c r="J2" s="3"/>
      <c r="K2" s="3"/>
      <c r="L2" s="3"/>
      <c r="M2" s="3"/>
      <c r="N2" s="3"/>
      <c r="O2" s="4" t="s">
        <v>28</v>
      </c>
      <c r="P2" s="3" t="s">
        <v>29</v>
      </c>
      <c r="Q2" s="3"/>
      <c r="R2" s="3"/>
      <c r="S2" s="3"/>
      <c r="T2" s="3"/>
      <c r="U2" s="3"/>
      <c r="V2" s="4" t="s">
        <v>30</v>
      </c>
      <c r="W2" s="4" t="s">
        <v>31</v>
      </c>
      <c r="X2" s="4" t="s">
        <v>32</v>
      </c>
      <c r="Y2" s="3" t="s">
        <v>33</v>
      </c>
    </row>
    <row r="3" customFormat="false" ht="29.85" hidden="false" customHeight="false" outlineLevel="0" collapsed="false">
      <c r="A3" s="5" t="n">
        <v>2</v>
      </c>
      <c r="B3" s="6" t="s">
        <v>34</v>
      </c>
      <c r="C3" s="6" t="s">
        <v>26</v>
      </c>
      <c r="D3" s="5"/>
      <c r="E3" s="5"/>
      <c r="F3" s="5"/>
      <c r="G3" s="6" t="s">
        <v>27</v>
      </c>
      <c r="H3" s="5"/>
      <c r="I3" s="5"/>
      <c r="J3" s="5"/>
      <c r="K3" s="5"/>
      <c r="L3" s="5"/>
      <c r="M3" s="5"/>
      <c r="N3" s="5"/>
      <c r="O3" s="6" t="s">
        <v>28</v>
      </c>
      <c r="P3" s="5" t="s">
        <v>29</v>
      </c>
      <c r="Q3" s="5"/>
      <c r="R3" s="5"/>
      <c r="S3" s="5"/>
      <c r="T3" s="5"/>
      <c r="U3" s="5"/>
      <c r="V3" s="6" t="s">
        <v>30</v>
      </c>
      <c r="W3" s="6" t="s">
        <v>31</v>
      </c>
      <c r="X3" s="6" t="s">
        <v>32</v>
      </c>
      <c r="Y3" s="5" t="s">
        <v>33</v>
      </c>
    </row>
    <row r="4" customFormat="false" ht="29.85" hidden="false" customHeight="false" outlineLevel="0" collapsed="false">
      <c r="A4" s="3" t="n">
        <v>3</v>
      </c>
      <c r="B4" s="4" t="s">
        <v>35</v>
      </c>
      <c r="C4" s="4" t="s">
        <v>26</v>
      </c>
      <c r="D4" s="3"/>
      <c r="E4" s="3"/>
      <c r="F4" s="3"/>
      <c r="G4" s="4" t="s">
        <v>27</v>
      </c>
      <c r="H4" s="3"/>
      <c r="I4" s="3"/>
      <c r="J4" s="3"/>
      <c r="K4" s="3"/>
      <c r="L4" s="3"/>
      <c r="M4" s="3"/>
      <c r="N4" s="3"/>
      <c r="O4" s="4" t="s">
        <v>28</v>
      </c>
      <c r="P4" s="3" t="s">
        <v>29</v>
      </c>
      <c r="Q4" s="3"/>
      <c r="R4" s="3"/>
      <c r="S4" s="3"/>
      <c r="T4" s="3"/>
      <c r="U4" s="3"/>
      <c r="V4" s="4" t="s">
        <v>30</v>
      </c>
      <c r="W4" s="4" t="s">
        <v>31</v>
      </c>
      <c r="X4" s="4" t="s">
        <v>32</v>
      </c>
      <c r="Y4" s="3" t="s">
        <v>33</v>
      </c>
    </row>
    <row r="5" customFormat="false" ht="29.85" hidden="false" customHeight="false" outlineLevel="0" collapsed="false">
      <c r="A5" s="5" t="n">
        <v>4</v>
      </c>
      <c r="B5" s="6" t="s">
        <v>36</v>
      </c>
      <c r="C5" s="6" t="s">
        <v>26</v>
      </c>
      <c r="D5" s="5"/>
      <c r="E5" s="5"/>
      <c r="F5" s="5"/>
      <c r="G5" s="6" t="s">
        <v>27</v>
      </c>
      <c r="H5" s="5"/>
      <c r="I5" s="5"/>
      <c r="J5" s="5"/>
      <c r="K5" s="5"/>
      <c r="L5" s="5"/>
      <c r="M5" s="5"/>
      <c r="N5" s="5"/>
      <c r="O5" s="6" t="s">
        <v>28</v>
      </c>
      <c r="P5" s="5" t="s">
        <v>29</v>
      </c>
      <c r="Q5" s="5"/>
      <c r="R5" s="5"/>
      <c r="S5" s="5"/>
      <c r="T5" s="5"/>
      <c r="U5" s="5"/>
      <c r="V5" s="6" t="s">
        <v>30</v>
      </c>
      <c r="W5" s="6" t="s">
        <v>31</v>
      </c>
      <c r="X5" s="6" t="s">
        <v>32</v>
      </c>
      <c r="Y5" s="5" t="s">
        <v>33</v>
      </c>
    </row>
    <row r="6" customFormat="false" ht="29.85" hidden="false" customHeight="false" outlineLevel="0" collapsed="false">
      <c r="A6" s="3" t="n">
        <v>5</v>
      </c>
      <c r="B6" s="4" t="s">
        <v>37</v>
      </c>
      <c r="C6" s="4" t="s">
        <v>38</v>
      </c>
      <c r="D6" s="3"/>
      <c r="E6" s="3"/>
      <c r="F6" s="3"/>
      <c r="G6" s="4" t="s">
        <v>27</v>
      </c>
      <c r="H6" s="3"/>
      <c r="I6" s="3"/>
      <c r="J6" s="3"/>
      <c r="K6" s="3"/>
      <c r="L6" s="3"/>
      <c r="M6" s="3"/>
      <c r="N6" s="3"/>
      <c r="O6" s="4" t="s">
        <v>28</v>
      </c>
      <c r="P6" s="3" t="s">
        <v>29</v>
      </c>
      <c r="Q6" s="3"/>
      <c r="R6" s="3"/>
      <c r="S6" s="3"/>
      <c r="T6" s="3"/>
      <c r="U6" s="3"/>
      <c r="V6" s="4" t="s">
        <v>30</v>
      </c>
      <c r="W6" s="3" t="s">
        <v>39</v>
      </c>
      <c r="X6" s="3" t="s">
        <v>40</v>
      </c>
      <c r="Y6" s="3" t="s">
        <v>33</v>
      </c>
    </row>
    <row r="7" customFormat="false" ht="29.85" hidden="false" customHeight="false" outlineLevel="0" collapsed="false">
      <c r="A7" s="5" t="n">
        <v>6</v>
      </c>
      <c r="B7" s="6" t="s">
        <v>41</v>
      </c>
      <c r="C7" s="6" t="s">
        <v>38</v>
      </c>
      <c r="D7" s="5"/>
      <c r="E7" s="5"/>
      <c r="F7" s="5"/>
      <c r="G7" s="6" t="s">
        <v>27</v>
      </c>
      <c r="H7" s="5"/>
      <c r="I7" s="5"/>
      <c r="J7" s="5"/>
      <c r="K7" s="5"/>
      <c r="L7" s="5"/>
      <c r="M7" s="5"/>
      <c r="N7" s="5"/>
      <c r="O7" s="6" t="s">
        <v>28</v>
      </c>
      <c r="P7" s="5" t="s">
        <v>29</v>
      </c>
      <c r="Q7" s="5"/>
      <c r="R7" s="5"/>
      <c r="S7" s="5"/>
      <c r="T7" s="5"/>
      <c r="U7" s="5"/>
      <c r="V7" s="6" t="s">
        <v>30</v>
      </c>
      <c r="W7" s="5" t="s">
        <v>39</v>
      </c>
      <c r="X7" s="5" t="s">
        <v>40</v>
      </c>
      <c r="Y7" s="5" t="s">
        <v>33</v>
      </c>
    </row>
    <row r="8" customFormat="false" ht="15" hidden="false" customHeight="false" outlineLevel="0" collapsed="false">
      <c r="A8" s="3" t="n">
        <v>7</v>
      </c>
      <c r="B8" s="4" t="s">
        <v>42</v>
      </c>
      <c r="C8" s="4" t="s">
        <v>43</v>
      </c>
      <c r="D8" s="3"/>
      <c r="E8" s="3"/>
      <c r="F8" s="3"/>
      <c r="G8" s="4" t="s">
        <v>27</v>
      </c>
      <c r="H8" s="3"/>
      <c r="I8" s="3"/>
      <c r="J8" s="3"/>
      <c r="K8" s="3"/>
      <c r="L8" s="3"/>
      <c r="M8" s="3"/>
      <c r="N8" s="3"/>
      <c r="O8" s="4" t="s">
        <v>28</v>
      </c>
      <c r="P8" s="3" t="s">
        <v>44</v>
      </c>
      <c r="Q8" s="3"/>
      <c r="R8" s="3"/>
      <c r="S8" s="3"/>
      <c r="T8" s="3"/>
      <c r="U8" s="3"/>
      <c r="V8" s="4" t="s">
        <v>30</v>
      </c>
      <c r="W8" s="3" t="s">
        <v>39</v>
      </c>
      <c r="X8" s="3" t="s">
        <v>40</v>
      </c>
      <c r="Y8" s="3" t="s">
        <v>33</v>
      </c>
    </row>
    <row r="9" customFormat="false" ht="15" hidden="false" customHeight="false" outlineLevel="0" collapsed="false">
      <c r="A9" s="5" t="n">
        <v>8</v>
      </c>
      <c r="B9" s="6" t="s">
        <v>45</v>
      </c>
      <c r="C9" s="6" t="s">
        <v>46</v>
      </c>
      <c r="D9" s="5"/>
      <c r="E9" s="5"/>
      <c r="F9" s="5"/>
      <c r="G9" s="6" t="s">
        <v>27</v>
      </c>
      <c r="H9" s="5"/>
      <c r="I9" s="5"/>
      <c r="J9" s="5"/>
      <c r="K9" s="5"/>
      <c r="L9" s="5"/>
      <c r="M9" s="5"/>
      <c r="N9" s="5"/>
      <c r="O9" s="6" t="s">
        <v>28</v>
      </c>
      <c r="P9" s="5" t="s">
        <v>44</v>
      </c>
      <c r="Q9" s="5"/>
      <c r="R9" s="5"/>
      <c r="S9" s="5"/>
      <c r="T9" s="5"/>
      <c r="U9" s="5"/>
      <c r="V9" s="6" t="s">
        <v>30</v>
      </c>
      <c r="W9" s="5" t="s">
        <v>39</v>
      </c>
      <c r="X9" s="5" t="s">
        <v>40</v>
      </c>
      <c r="Y9" s="5" t="s">
        <v>33</v>
      </c>
    </row>
    <row r="10" customFormat="false" ht="29.85" hidden="false" customHeight="false" outlineLevel="0" collapsed="false">
      <c r="A10" s="3" t="n">
        <v>9</v>
      </c>
      <c r="B10" s="4" t="s">
        <v>47</v>
      </c>
      <c r="C10" s="4" t="s">
        <v>26</v>
      </c>
      <c r="D10" s="3"/>
      <c r="E10" s="3"/>
      <c r="F10" s="3"/>
      <c r="G10" s="4" t="s">
        <v>48</v>
      </c>
      <c r="H10" s="3"/>
      <c r="I10" s="3"/>
      <c r="J10" s="3"/>
      <c r="K10" s="3"/>
      <c r="L10" s="3"/>
      <c r="M10" s="3"/>
      <c r="N10" s="3"/>
      <c r="O10" s="4" t="s">
        <v>28</v>
      </c>
      <c r="P10" s="3" t="s">
        <v>44</v>
      </c>
      <c r="Q10" s="3"/>
      <c r="R10" s="3"/>
      <c r="S10" s="3"/>
      <c r="T10" s="3"/>
      <c r="U10" s="3"/>
      <c r="V10" s="4" t="s">
        <v>30</v>
      </c>
      <c r="W10" s="4" t="s">
        <v>49</v>
      </c>
      <c r="X10" s="4" t="s">
        <v>32</v>
      </c>
      <c r="Y10" s="3" t="s">
        <v>33</v>
      </c>
    </row>
    <row r="11" customFormat="false" ht="29.85" hidden="false" customHeight="false" outlineLevel="0" collapsed="false">
      <c r="A11" s="5" t="n">
        <v>10</v>
      </c>
      <c r="B11" s="6" t="s">
        <v>50</v>
      </c>
      <c r="C11" s="6" t="s">
        <v>38</v>
      </c>
      <c r="D11" s="5"/>
      <c r="E11" s="5"/>
      <c r="F11" s="5"/>
      <c r="G11" s="6" t="s">
        <v>51</v>
      </c>
      <c r="H11" s="5"/>
      <c r="I11" s="5"/>
      <c r="J11" s="5"/>
      <c r="K11" s="5"/>
      <c r="L11" s="5"/>
      <c r="M11" s="5"/>
      <c r="N11" s="5"/>
      <c r="O11" s="6" t="s">
        <v>28</v>
      </c>
      <c r="P11" s="5" t="s">
        <v>52</v>
      </c>
      <c r="Q11" s="5"/>
      <c r="R11" s="5"/>
      <c r="S11" s="5"/>
      <c r="T11" s="5"/>
      <c r="U11" s="5"/>
      <c r="V11" s="6" t="s">
        <v>30</v>
      </c>
      <c r="W11" s="6" t="s">
        <v>53</v>
      </c>
      <c r="X11" s="5" t="s">
        <v>40</v>
      </c>
      <c r="Y11" s="5" t="s">
        <v>33</v>
      </c>
    </row>
  </sheetData>
  <autoFilter ref="A1:Y11"/>
  <dataValidations count="5">
    <dataValidation allowBlank="true" errorStyle="stop" operator="between" showDropDown="false" showErrorMessage="false" showInputMessage="false" sqref="O2:O1000" type="list">
      <formula1>"未着手,リスト化済,初回連絡済,商談中,提案中,掲載検討中,掲載決定,掲載中,失注,保留"</formula1>
      <formula2>0</formula2>
    </dataValidation>
    <dataValidation allowBlank="true" errorStyle="stop" operator="between" showDropDown="false" showErrorMessage="false" showInputMessage="false" sqref="P2:P1000" type="list">
      <formula1>"S,A,B,C"</formula1>
      <formula2>0</formula2>
    </dataValidation>
    <dataValidation allowBlank="true" errorStyle="stop" operator="between" showDropDown="false" showErrorMessage="false" showInputMessage="false" sqref="Q2:Q1000" type="list">
      <formula1>"電話,メール,訪問,郵送DM,FAX DM,Webフォーム,紹介"</formula1>
      <formula2>0</formula2>
    </dataValidation>
    <dataValidation allowBlank="true" errorStyle="stop" operator="between" showDropDown="false" showErrorMessage="false" showInputMessage="false" sqref="C2:C1000" type="list">
      <formula1>"認知症対応型GH,障害者GH（共同生活援助）,就労継続支援A型,就労継続支援B型,就労移行支援,生活介護,その他"</formula1>
      <formula2>0</formula2>
    </dataValidation>
    <dataValidation allowBlank="true" errorStyle="stop" operator="between" showDropDown="false" showErrorMessage="false" showInputMessage="false" sqref="V2:V1000" type="list">
      <formula1>"未掲載,掲載準備中,掲載中,有効応募1件,有効応募2件,有効応募3件達成,課金開始,停止"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2"/>
  </cols>
  <sheetData>
    <row r="1" customFormat="false" ht="17.35" hidden="false" customHeight="false" outlineLevel="0" collapsed="false">
      <c r="A1" s="7" t="s">
        <v>54</v>
      </c>
      <c r="B1" s="7"/>
      <c r="C1" s="7"/>
    </row>
    <row r="3" customFormat="false" ht="15" hidden="false" customHeight="false" outlineLevel="0" collapsed="false">
      <c r="A3" s="8" t="s">
        <v>55</v>
      </c>
      <c r="B3" s="8" t="s">
        <v>56</v>
      </c>
      <c r="C3" s="8" t="s">
        <v>57</v>
      </c>
    </row>
    <row r="4" customFormat="false" ht="15" hidden="false" customHeight="false" outlineLevel="0" collapsed="false">
      <c r="A4" s="9" t="s">
        <v>28</v>
      </c>
      <c r="B4" s="9" t="n">
        <f aca="false">COUNTIF(営業リスト!O:O,"未着手")</f>
        <v>10</v>
      </c>
      <c r="C4" s="10" t="n">
        <f aca="false">IFERROR(B4/$B$14,0)</f>
        <v>1</v>
      </c>
    </row>
    <row r="5" customFormat="false" ht="15" hidden="false" customHeight="false" outlineLevel="0" collapsed="false">
      <c r="A5" s="9" t="s">
        <v>58</v>
      </c>
      <c r="B5" s="9" t="n">
        <f aca="false">COUNTIF(営業リスト!O:O,"リスト化済")</f>
        <v>0</v>
      </c>
      <c r="C5" s="10" t="n">
        <f aca="false">IFERROR(B5/$B$14,0)</f>
        <v>0</v>
      </c>
    </row>
    <row r="6" customFormat="false" ht="15" hidden="false" customHeight="false" outlineLevel="0" collapsed="false">
      <c r="A6" s="9" t="s">
        <v>59</v>
      </c>
      <c r="B6" s="9" t="n">
        <f aca="false">COUNTIF(営業リスト!O:O,"初回連絡済")</f>
        <v>0</v>
      </c>
      <c r="C6" s="10" t="n">
        <f aca="false">IFERROR(B6/$B$14,0)</f>
        <v>0</v>
      </c>
    </row>
    <row r="7" customFormat="false" ht="15" hidden="false" customHeight="false" outlineLevel="0" collapsed="false">
      <c r="A7" s="9" t="s">
        <v>60</v>
      </c>
      <c r="B7" s="9" t="n">
        <f aca="false">COUNTIF(営業リスト!O:O,"商談中")</f>
        <v>0</v>
      </c>
      <c r="C7" s="10" t="n">
        <f aca="false">IFERROR(B7/$B$14,0)</f>
        <v>0</v>
      </c>
    </row>
    <row r="8" customFormat="false" ht="15" hidden="false" customHeight="false" outlineLevel="0" collapsed="false">
      <c r="A8" s="9" t="s">
        <v>61</v>
      </c>
      <c r="B8" s="9" t="n">
        <f aca="false">COUNTIF(営業リスト!O:O,"提案中")</f>
        <v>0</v>
      </c>
      <c r="C8" s="10" t="n">
        <f aca="false">IFERROR(B8/$B$14,0)</f>
        <v>0</v>
      </c>
    </row>
    <row r="9" customFormat="false" ht="15" hidden="false" customHeight="false" outlineLevel="0" collapsed="false">
      <c r="A9" s="9" t="s">
        <v>62</v>
      </c>
      <c r="B9" s="9" t="n">
        <f aca="false">COUNTIF(営業リスト!O:O,"掲載検討中")</f>
        <v>0</v>
      </c>
      <c r="C9" s="10" t="n">
        <f aca="false">IFERROR(B9/$B$14,0)</f>
        <v>0</v>
      </c>
    </row>
    <row r="10" customFormat="false" ht="15" hidden="false" customHeight="false" outlineLevel="0" collapsed="false">
      <c r="A10" s="9" t="s">
        <v>63</v>
      </c>
      <c r="B10" s="9" t="n">
        <f aca="false">COUNTIF(営業リスト!O:O,"掲載決定")</f>
        <v>0</v>
      </c>
      <c r="C10" s="10" t="n">
        <f aca="false">IFERROR(B10/$B$14,0)</f>
        <v>0</v>
      </c>
    </row>
    <row r="11" customFormat="false" ht="15" hidden="false" customHeight="false" outlineLevel="0" collapsed="false">
      <c r="A11" s="9" t="s">
        <v>64</v>
      </c>
      <c r="B11" s="9" t="n">
        <f aca="false">COUNTIF(営業リスト!O:O,"掲載中")</f>
        <v>0</v>
      </c>
      <c r="C11" s="10" t="n">
        <f aca="false">IFERROR(B11/$B$14,0)</f>
        <v>0</v>
      </c>
    </row>
    <row r="12" customFormat="false" ht="15" hidden="false" customHeight="false" outlineLevel="0" collapsed="false">
      <c r="A12" s="9" t="s">
        <v>65</v>
      </c>
      <c r="B12" s="9" t="n">
        <f aca="false">COUNTIF(営業リスト!O:O,"失注")</f>
        <v>0</v>
      </c>
      <c r="C12" s="10" t="n">
        <f aca="false">IFERROR(B12/$B$14,0)</f>
        <v>0</v>
      </c>
    </row>
    <row r="13" customFormat="false" ht="15" hidden="false" customHeight="false" outlineLevel="0" collapsed="false">
      <c r="A13" s="9" t="s">
        <v>66</v>
      </c>
      <c r="B13" s="9" t="n">
        <f aca="false">COUNTIF(営業リスト!O:O,"保留")</f>
        <v>0</v>
      </c>
      <c r="C13" s="10" t="n">
        <f aca="false">IFERROR(B13/$B$14,0)</f>
        <v>0</v>
      </c>
    </row>
    <row r="14" customFormat="false" ht="15" hidden="false" customHeight="false" outlineLevel="0" collapsed="false">
      <c r="A14" s="11" t="s">
        <v>67</v>
      </c>
      <c r="B14" s="11" t="n">
        <f aca="false">SUM(B4:B13)</f>
        <v>10</v>
      </c>
      <c r="C14" s="12" t="n">
        <f aca="false">SUM(C4:C13)</f>
        <v>1</v>
      </c>
    </row>
    <row r="17" customFormat="false" ht="17.35" hidden="false" customHeight="false" outlineLevel="0" collapsed="false">
      <c r="A17" s="7" t="s">
        <v>68</v>
      </c>
      <c r="B17" s="7"/>
      <c r="C17" s="7"/>
    </row>
    <row r="19" customFormat="false" ht="15" hidden="false" customHeight="false" outlineLevel="0" collapsed="false">
      <c r="A19" s="8" t="s">
        <v>2</v>
      </c>
      <c r="B19" s="8" t="s">
        <v>56</v>
      </c>
      <c r="C19" s="8" t="s">
        <v>64</v>
      </c>
    </row>
    <row r="20" customFormat="false" ht="17.15" hidden="false" customHeight="false" outlineLevel="0" collapsed="false">
      <c r="A20" s="9" t="s">
        <v>69</v>
      </c>
      <c r="B20" s="9" t="n">
        <f aca="false">COUNTIF(営業リスト!C:C,"認知症対応型GH")</f>
        <v>5</v>
      </c>
      <c r="C20" s="9" t="n">
        <f aca="false">COUNTIFS(営業リスト!C:C,"認知症対応型GH",営業リスト!V:V,"掲載中")</f>
        <v>0</v>
      </c>
    </row>
    <row r="21" customFormat="false" ht="17.15" hidden="false" customHeight="false" outlineLevel="0" collapsed="false">
      <c r="A21" s="9" t="s">
        <v>70</v>
      </c>
      <c r="B21" s="9" t="n">
        <f aca="false">COUNTIF(営業リスト!C:C,"障害者GH（共同生活援助）")</f>
        <v>3</v>
      </c>
      <c r="C21" s="9" t="n">
        <f aca="false">COUNTIFS(営業リスト!C:C,"障害者GH（共同生活援助）",営業リスト!V:V,"掲載中")</f>
        <v>0</v>
      </c>
    </row>
    <row r="22" customFormat="false" ht="17.15" hidden="false" customHeight="false" outlineLevel="0" collapsed="false">
      <c r="A22" s="9" t="s">
        <v>71</v>
      </c>
      <c r="B22" s="9" t="n">
        <f aca="false">COUNTIF(営業リスト!C:C,"就労継続支援A型")</f>
        <v>1</v>
      </c>
      <c r="C22" s="9" t="n">
        <f aca="false">COUNTIFS(営業リスト!C:C,"就労継続支援A型",営業リスト!V:V,"掲載中")</f>
        <v>0</v>
      </c>
    </row>
    <row r="23" customFormat="false" ht="17.15" hidden="false" customHeight="false" outlineLevel="0" collapsed="false">
      <c r="A23" s="9" t="s">
        <v>72</v>
      </c>
      <c r="B23" s="9" t="n">
        <f aca="false">COUNTIF(営業リスト!C:C,"就労継続支援B型")</f>
        <v>1</v>
      </c>
      <c r="C23" s="9" t="n">
        <f aca="false">COUNTIFS(営業リスト!C:C,"就労継続支援B型",営業リスト!V:V,"掲載中")</f>
        <v>0</v>
      </c>
    </row>
    <row r="24" customFormat="false" ht="15" hidden="false" customHeight="false" outlineLevel="0" collapsed="false">
      <c r="A24" s="9" t="s">
        <v>73</v>
      </c>
      <c r="B24" s="9" t="n">
        <f aca="false">COUNTIF(営業リスト!C:C,"就労移行支援")</f>
        <v>0</v>
      </c>
      <c r="C24" s="9" t="n">
        <f aca="false">COUNTIFS(営業リスト!C:C,"就労移行支援",営業リスト!V:V,"掲載中")</f>
        <v>0</v>
      </c>
    </row>
    <row r="25" customFormat="false" ht="15" hidden="false" customHeight="false" outlineLevel="0" collapsed="false">
      <c r="A25" s="9" t="s">
        <v>74</v>
      </c>
      <c r="B25" s="9" t="n">
        <f aca="false">COUNTIF(営業リスト!C:C,"生活介護")</f>
        <v>0</v>
      </c>
      <c r="C25" s="9" t="n">
        <f aca="false">COUNTIFS(営業リスト!C:C,"生活介護",営業リスト!V:V,"掲載中")</f>
        <v>0</v>
      </c>
    </row>
    <row r="26" customFormat="false" ht="15" hidden="false" customHeight="false" outlineLevel="0" collapsed="false">
      <c r="A26" s="9" t="s">
        <v>75</v>
      </c>
      <c r="B26" s="9" t="n">
        <f aca="false">COUNTIF(営業リスト!C:C,"その他")</f>
        <v>0</v>
      </c>
      <c r="C26" s="9" t="n">
        <f aca="false">COUNTIFS(営業リスト!C:C,"その他",営業リスト!V:V,"掲載中")</f>
        <v>0</v>
      </c>
    </row>
  </sheetData>
  <mergeCells count="2">
    <mergeCell ref="A1:C1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23.85" hidden="false" customHeight="false" outlineLevel="0" collapsed="false">
      <c r="A1" s="13" t="s">
        <v>76</v>
      </c>
    </row>
    <row r="2" customFormat="false" ht="15" hidden="false" customHeight="false" outlineLevel="0" collapsed="false">
      <c r="A2" s="14"/>
    </row>
    <row r="3" customFormat="false" ht="19.4" hidden="false" customHeight="false" outlineLevel="0" collapsed="false">
      <c r="A3" s="15" t="s">
        <v>77</v>
      </c>
    </row>
    <row r="4" customFormat="false" ht="17.15" hidden="false" customHeight="false" outlineLevel="0" collapsed="false">
      <c r="A4" s="16" t="s">
        <v>78</v>
      </c>
    </row>
    <row r="5" customFormat="false" ht="15" hidden="false" customHeight="false" outlineLevel="0" collapsed="false">
      <c r="A5" s="14"/>
    </row>
    <row r="6" customFormat="false" ht="19.4" hidden="false" customHeight="false" outlineLevel="0" collapsed="false">
      <c r="A6" s="15" t="s">
        <v>79</v>
      </c>
    </row>
    <row r="7" customFormat="false" ht="17.15" hidden="false" customHeight="false" outlineLevel="0" collapsed="false">
      <c r="A7" s="16" t="s">
        <v>80</v>
      </c>
    </row>
    <row r="8" customFormat="false" ht="17.15" hidden="false" customHeight="false" outlineLevel="0" collapsed="false">
      <c r="A8" s="16" t="s">
        <v>81</v>
      </c>
    </row>
    <row r="9" customFormat="false" ht="17.15" hidden="false" customHeight="false" outlineLevel="0" collapsed="false">
      <c r="A9" s="16" t="s">
        <v>82</v>
      </c>
    </row>
    <row r="10" customFormat="false" ht="17.15" hidden="false" customHeight="false" outlineLevel="0" collapsed="false">
      <c r="A10" s="16" t="s">
        <v>83</v>
      </c>
    </row>
    <row r="11" customFormat="false" ht="15" hidden="false" customHeight="false" outlineLevel="0" collapsed="false">
      <c r="A11" s="14"/>
    </row>
    <row r="12" customFormat="false" ht="19.4" hidden="false" customHeight="false" outlineLevel="0" collapsed="false">
      <c r="A12" s="15" t="s">
        <v>84</v>
      </c>
    </row>
    <row r="13" customFormat="false" ht="17.15" hidden="false" customHeight="false" outlineLevel="0" collapsed="false">
      <c r="A13" s="16" t="s">
        <v>85</v>
      </c>
    </row>
    <row r="14" customFormat="false" ht="15" hidden="false" customHeight="false" outlineLevel="0" collapsed="false">
      <c r="A14" s="14" t="s">
        <v>86</v>
      </c>
    </row>
    <row r="15" customFormat="false" ht="17.15" hidden="false" customHeight="false" outlineLevel="0" collapsed="false">
      <c r="A15" s="16" t="s">
        <v>87</v>
      </c>
    </row>
    <row r="16" customFormat="false" ht="15" hidden="false" customHeight="false" outlineLevel="0" collapsed="false">
      <c r="A16" s="14" t="s">
        <v>88</v>
      </c>
    </row>
    <row r="17" customFormat="false" ht="17.15" hidden="false" customHeight="false" outlineLevel="0" collapsed="false">
      <c r="A17" s="16" t="s">
        <v>89</v>
      </c>
    </row>
    <row r="18" customFormat="false" ht="15" hidden="false" customHeight="false" outlineLevel="0" collapsed="false">
      <c r="A18" s="14" t="s">
        <v>90</v>
      </c>
    </row>
    <row r="19" customFormat="false" ht="15" hidden="false" customHeight="false" outlineLevel="0" collapsed="false">
      <c r="A19" s="14"/>
    </row>
    <row r="20" customFormat="false" ht="19.4" hidden="false" customHeight="false" outlineLevel="0" collapsed="false">
      <c r="A20" s="15" t="s">
        <v>91</v>
      </c>
    </row>
    <row r="21" customFormat="false" ht="17.15" hidden="false" customHeight="false" outlineLevel="0" collapsed="false">
      <c r="A21" s="14" t="s">
        <v>92</v>
      </c>
    </row>
    <row r="22" customFormat="false" ht="17.15" hidden="false" customHeight="false" outlineLevel="0" collapsed="false">
      <c r="A22" s="14" t="s">
        <v>93</v>
      </c>
    </row>
    <row r="23" customFormat="false" ht="17.15" hidden="false" customHeight="false" outlineLevel="0" collapsed="false">
      <c r="A23" s="14" t="s">
        <v>94</v>
      </c>
    </row>
    <row r="24" customFormat="false" ht="17.15" hidden="false" customHeight="false" outlineLevel="0" collapsed="false">
      <c r="A24" s="14" t="s">
        <v>95</v>
      </c>
    </row>
    <row r="25" customFormat="false" ht="15" hidden="false" customHeight="false" outlineLevel="0" collapsed="false">
      <c r="A25" s="14"/>
    </row>
    <row r="26" customFormat="false" ht="19.4" hidden="false" customHeight="false" outlineLevel="0" collapsed="false">
      <c r="A26" s="15" t="s">
        <v>96</v>
      </c>
    </row>
    <row r="27" customFormat="false" ht="17.15" hidden="false" customHeight="false" outlineLevel="0" collapsed="false">
      <c r="A27" s="16" t="s">
        <v>97</v>
      </c>
    </row>
    <row r="28" customFormat="false" ht="15" hidden="false" customHeight="false" outlineLevel="0" collapsed="false">
      <c r="A28" s="14"/>
    </row>
    <row r="29" customFormat="false" ht="19.4" hidden="false" customHeight="false" outlineLevel="0" collapsed="false">
      <c r="A29" s="15" t="s">
        <v>98</v>
      </c>
    </row>
    <row r="30" customFormat="false" ht="17.15" hidden="false" customHeight="false" outlineLevel="0" collapsed="false">
      <c r="A30" s="16" t="s">
        <v>99</v>
      </c>
    </row>
    <row r="31" customFormat="false" ht="17.15" hidden="false" customHeight="false" outlineLevel="0" collapsed="false">
      <c r="A31" s="16" t="s">
        <v>100</v>
      </c>
    </row>
    <row r="32" customFormat="false" ht="17.15" hidden="false" customHeight="false" outlineLevel="0" collapsed="false">
      <c r="A32" s="16" t="s">
        <v>101</v>
      </c>
    </row>
    <row r="33" customFormat="false" ht="17.15" hidden="false" customHeight="false" outlineLevel="0" collapsed="false">
      <c r="A33" s="16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2026-04-28T04:55:37Z</dcterms:created>
  <dc:creator>openpyxl</dc:creator>
  <dc:description/>
  <dc:language>en-US</dc:language>
  <cp:lastModifiedBy/>
  <dcterms:modified xsi:type="dcterms:W3CDTF">2026-04-28T04:55:37Z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